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Watbal2030/Data/Vege/"/>
    </mc:Choice>
  </mc:AlternateContent>
  <xr:revisionPtr revIDLastSave="0" documentId="13_ncr:1_{29F45862-F849-6749-9BB6-B842D46C4D89}" xr6:coauthVersionLast="47" xr6:coauthVersionMax="47" xr10:uidLastSave="{00000000-0000-0000-0000-000000000000}"/>
  <bookViews>
    <workbookView xWindow="1740" yWindow="2160" windowWidth="32040" windowHeight="1816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8" i="7" l="1"/>
  <c r="E28" i="7"/>
  <c r="F28" i="7"/>
  <c r="C28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B4" i="7"/>
  <c r="A5" i="7"/>
  <c r="A6" i="7" l="1"/>
  <c r="B6" i="7" l="1"/>
  <c r="A7" i="7"/>
  <c r="B7" i="7" l="1"/>
  <c r="A8" i="7"/>
  <c r="B8" i="7" l="1"/>
  <c r="A9" i="7"/>
  <c r="B9" i="7" l="1"/>
  <c r="A10" i="7"/>
  <c r="B10" i="7" l="1"/>
  <c r="A11" i="7"/>
  <c r="B11" i="7" l="1"/>
  <c r="A12" i="7"/>
  <c r="B12" i="7" l="1"/>
  <c r="A13" i="7"/>
  <c r="B13" i="7" l="1"/>
  <c r="A14" i="7"/>
  <c r="B14" i="7" l="1"/>
  <c r="A15" i="7"/>
  <c r="B15" i="7" l="1"/>
  <c r="A16" i="7"/>
  <c r="A17" i="7" l="1"/>
  <c r="B16" i="7"/>
  <c r="B17" i="7" l="1"/>
  <c r="A18" i="7"/>
  <c r="B18" i="7" l="1"/>
  <c r="A19" i="7"/>
  <c r="B19" i="7" l="1"/>
  <c r="A20" i="7"/>
  <c r="B20" i="7" l="1"/>
  <c r="A21" i="7"/>
  <c r="B21" i="7" l="1"/>
  <c r="A22" i="7"/>
  <c r="B22" i="7" l="1"/>
  <c r="A23" i="7"/>
  <c r="B23" i="7" l="1"/>
  <c r="A24" i="7"/>
  <c r="B24" i="7" l="1"/>
  <c r="A25" i="7"/>
  <c r="B25" i="7" l="1"/>
  <c r="A26" i="7"/>
  <c r="B26" i="7" l="1"/>
  <c r="A27" i="7"/>
  <c r="B27" i="7" l="1"/>
  <c r="A28" i="7"/>
  <c r="B28" i="7" s="1"/>
  <c r="B2" i="7" s="1"/>
</calcChain>
</file>

<file path=xl/sharedStrings.xml><?xml version="1.0" encoding="utf-8"?>
<sst xmlns="http://schemas.openxmlformats.org/spreadsheetml/2006/main" count="14" uniqueCount="13">
  <si>
    <t>Day/Month</t>
  </si>
  <si>
    <t>Day No</t>
  </si>
  <si>
    <t>Count</t>
  </si>
  <si>
    <t>Green Cover %</t>
  </si>
  <si>
    <t>Residue Cover %</t>
  </si>
  <si>
    <t>Root Depth mm</t>
  </si>
  <si>
    <t>Plot depth</t>
  </si>
  <si>
    <t>Tot</t>
  </si>
  <si>
    <t>Transpiration efficiency</t>
  </si>
  <si>
    <t>kg/ha/mm tranpiration</t>
  </si>
  <si>
    <t>Harvest index</t>
  </si>
  <si>
    <t>(0-1) fraction</t>
  </si>
  <si>
    <t>Data preparation water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</si>
</sst>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16" fontId="4" fillId="3" borderId="2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16" fontId="4" fillId="3" borderId="3" xfId="0" applyNumberFormat="1" applyFont="1" applyFill="1" applyBorder="1" applyAlignment="1">
      <alignment horizontal="center"/>
    </xf>
    <xf numFmtId="1" fontId="4" fillId="0" borderId="4" xfId="0" applyNumberFormat="1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3" fillId="2" borderId="0" xfId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0469448133974E-2"/>
          <c:y val="9.6446700507614197E-2"/>
          <c:w val="0.90436186042415301"/>
          <c:h val="0.756345177664975"/>
        </c:manualLayout>
      </c:layout>
      <c:scatterChart>
        <c:scatterStyle val="lineMarker"/>
        <c:varyColors val="0"/>
        <c:ser>
          <c:idx val="3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38100">
              <a:pattFill prst="pct50">
                <a:fgClr>
                  <a:srgbClr val="006411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Main!$C$4:$C$28</c:f>
              <c:numCache>
                <c:formatCode>General</c:formatCode>
                <c:ptCount val="2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25</c:v>
                </c:pt>
                <c:pt idx="12">
                  <c:v>40</c:v>
                </c:pt>
                <c:pt idx="13">
                  <c:v>70</c:v>
                </c:pt>
                <c:pt idx="14">
                  <c:v>90</c:v>
                </c:pt>
                <c:pt idx="15">
                  <c:v>90</c:v>
                </c:pt>
                <c:pt idx="16">
                  <c:v>60</c:v>
                </c:pt>
                <c:pt idx="17">
                  <c:v>35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0-FA49-94DB-1AE775EBA30F}"/>
            </c:ext>
          </c:extLst>
        </c:ser>
        <c:ser>
          <c:idx val="4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Main!$D$4:$D$28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50</c:v>
                </c:pt>
                <c:pt idx="19">
                  <c:v>40</c:v>
                </c:pt>
                <c:pt idx="20">
                  <c:v>15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0-FA49-94DB-1AE775EBA30F}"/>
            </c:ext>
          </c:extLst>
        </c:ser>
        <c:ser>
          <c:idx val="5"/>
          <c:order val="2"/>
          <c:tx>
            <c:strRef>
              <c:f>Main!$F$3</c:f>
              <c:strCache>
                <c:ptCount val="1"/>
                <c:pt idx="0">
                  <c:v>Plot depth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Main!$F$4:$F$28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25</c:v>
                </c:pt>
                <c:pt idx="11">
                  <c:v>40</c:v>
                </c:pt>
                <c:pt idx="12">
                  <c:v>60</c:v>
                </c:pt>
                <c:pt idx="13">
                  <c:v>90</c:v>
                </c:pt>
                <c:pt idx="14">
                  <c:v>110</c:v>
                </c:pt>
                <c:pt idx="15">
                  <c:v>120</c:v>
                </c:pt>
                <c:pt idx="16">
                  <c:v>100</c:v>
                </c:pt>
                <c:pt idx="17">
                  <c:v>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0-FA49-94DB-1AE775EB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029880"/>
        <c:axId val="-2132009432"/>
      </c:scatterChart>
      <c:valAx>
        <c:axId val="-2132029880"/>
        <c:scaling>
          <c:orientation val="minMax"/>
          <c:max val="37265"/>
          <c:min val="3689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d\-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09432"/>
        <c:crosses val="autoZero"/>
        <c:crossBetween val="midCat"/>
        <c:majorUnit val="30"/>
      </c:valAx>
      <c:valAx>
        <c:axId val="-2132009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298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2</xdr:row>
      <xdr:rowOff>76656</xdr:rowOff>
    </xdr:from>
    <xdr:to>
      <xdr:col>16</xdr:col>
      <xdr:colOff>557338</xdr:colOff>
      <xdr:row>24</xdr:row>
      <xdr:rowOff>173596</xdr:rowOff>
    </xdr:to>
    <xdr:graphicFrame macro="">
      <xdr:nvGraphicFramePr>
        <xdr:cNvPr id="3077" name="Chart 1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39" zoomScaleNormal="139" workbookViewId="0">
      <selection activeCell="D1" sqref="D1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6" width="7.6640625" customWidth="1"/>
    <col min="7" max="7" width="4.6640625" customWidth="1"/>
    <col min="8" max="10" width="4.83203125" customWidth="1"/>
  </cols>
  <sheetData>
    <row r="1" spans="1:8" x14ac:dyDescent="0.15">
      <c r="A1" s="1" t="s">
        <v>12</v>
      </c>
    </row>
    <row r="2" spans="1:8" ht="14" thickBot="1" x14ac:dyDescent="0.2">
      <c r="A2" t="s">
        <v>2</v>
      </c>
      <c r="B2">
        <f>COUNT(B4:B28)</f>
        <v>25</v>
      </c>
    </row>
    <row r="3" spans="1:8" s="13" customFormat="1" ht="18" customHeight="1" thickBot="1" x14ac:dyDescent="0.25">
      <c r="A3" s="10" t="s">
        <v>0</v>
      </c>
      <c r="B3" s="11" t="s">
        <v>1</v>
      </c>
      <c r="C3" s="14" t="s">
        <v>3</v>
      </c>
      <c r="D3" s="14" t="s">
        <v>4</v>
      </c>
      <c r="E3" s="14" t="s">
        <v>5</v>
      </c>
      <c r="F3" s="12" t="s">
        <v>6</v>
      </c>
      <c r="G3" s="13" t="s">
        <v>2</v>
      </c>
      <c r="H3" s="12" t="s">
        <v>7</v>
      </c>
    </row>
    <row r="4" spans="1:8" ht="16" x14ac:dyDescent="0.2">
      <c r="A4" s="4">
        <v>36892</v>
      </c>
      <c r="B4" s="5">
        <f>A4-36891</f>
        <v>1</v>
      </c>
      <c r="C4">
        <v>0</v>
      </c>
      <c r="D4">
        <v>5</v>
      </c>
      <c r="E4">
        <v>0</v>
      </c>
      <c r="F4" s="3">
        <f t="shared" ref="F4:F27" si="0">E4/10</f>
        <v>0</v>
      </c>
      <c r="G4">
        <v>1</v>
      </c>
    </row>
    <row r="5" spans="1:8" ht="16" x14ac:dyDescent="0.2">
      <c r="A5" s="4">
        <f>A4+15</f>
        <v>36907</v>
      </c>
      <c r="B5" s="5">
        <v>2</v>
      </c>
      <c r="C5">
        <v>5</v>
      </c>
      <c r="D5">
        <v>5</v>
      </c>
      <c r="E5">
        <v>0</v>
      </c>
      <c r="F5" s="3">
        <f t="shared" si="0"/>
        <v>0</v>
      </c>
      <c r="G5">
        <v>2</v>
      </c>
    </row>
    <row r="6" spans="1:8" ht="16" x14ac:dyDescent="0.2">
      <c r="A6" s="6">
        <f>A5+15+1</f>
        <v>36923</v>
      </c>
      <c r="B6" s="7">
        <f t="shared" ref="B5:B28" si="1">A6-36891</f>
        <v>32</v>
      </c>
      <c r="C6">
        <v>5</v>
      </c>
      <c r="D6">
        <v>5</v>
      </c>
      <c r="E6">
        <v>0</v>
      </c>
      <c r="F6" s="3">
        <f t="shared" si="0"/>
        <v>0</v>
      </c>
      <c r="G6">
        <v>3</v>
      </c>
    </row>
    <row r="7" spans="1:8" ht="16" x14ac:dyDescent="0.2">
      <c r="A7" s="6">
        <f t="shared" ref="A7:A28" si="2">A6+15</f>
        <v>36938</v>
      </c>
      <c r="B7" s="7">
        <f t="shared" si="1"/>
        <v>47</v>
      </c>
      <c r="C7">
        <v>5</v>
      </c>
      <c r="D7">
        <v>5</v>
      </c>
      <c r="E7">
        <v>0</v>
      </c>
      <c r="F7" s="3">
        <f t="shared" si="0"/>
        <v>0</v>
      </c>
      <c r="G7">
        <v>4</v>
      </c>
    </row>
    <row r="8" spans="1:8" ht="16" x14ac:dyDescent="0.2">
      <c r="A8" s="4">
        <f>A7+13</f>
        <v>36951</v>
      </c>
      <c r="B8" s="5">
        <f t="shared" si="1"/>
        <v>60</v>
      </c>
      <c r="C8">
        <v>5</v>
      </c>
      <c r="D8">
        <v>5</v>
      </c>
      <c r="E8">
        <v>0</v>
      </c>
      <c r="F8" s="3">
        <f t="shared" si="0"/>
        <v>0</v>
      </c>
      <c r="G8">
        <v>5</v>
      </c>
    </row>
    <row r="9" spans="1:8" ht="16" x14ac:dyDescent="0.2">
      <c r="A9" s="4">
        <f t="shared" si="2"/>
        <v>36966</v>
      </c>
      <c r="B9" s="5">
        <f t="shared" si="1"/>
        <v>75</v>
      </c>
      <c r="C9">
        <v>5</v>
      </c>
      <c r="D9">
        <v>5</v>
      </c>
      <c r="E9">
        <v>0</v>
      </c>
      <c r="F9" s="3">
        <f t="shared" si="0"/>
        <v>0</v>
      </c>
      <c r="G9">
        <v>6</v>
      </c>
    </row>
    <row r="10" spans="1:8" ht="16" x14ac:dyDescent="0.2">
      <c r="A10" s="6">
        <f>A9+16</f>
        <v>36982</v>
      </c>
      <c r="B10" s="7">
        <f t="shared" si="1"/>
        <v>91</v>
      </c>
      <c r="C10">
        <v>5</v>
      </c>
      <c r="D10">
        <v>5</v>
      </c>
      <c r="E10">
        <v>0</v>
      </c>
      <c r="F10" s="3">
        <f t="shared" si="0"/>
        <v>0</v>
      </c>
      <c r="G10">
        <v>7</v>
      </c>
    </row>
    <row r="11" spans="1:8" ht="16" x14ac:dyDescent="0.2">
      <c r="A11" s="6">
        <f t="shared" si="2"/>
        <v>36997</v>
      </c>
      <c r="B11" s="7">
        <f t="shared" si="1"/>
        <v>106</v>
      </c>
      <c r="C11">
        <v>5</v>
      </c>
      <c r="D11">
        <v>5</v>
      </c>
      <c r="E11">
        <v>0</v>
      </c>
      <c r="F11" s="3">
        <f t="shared" si="0"/>
        <v>0</v>
      </c>
      <c r="G11">
        <v>8</v>
      </c>
    </row>
    <row r="12" spans="1:8" ht="16" x14ac:dyDescent="0.2">
      <c r="A12" s="4">
        <f t="shared" si="2"/>
        <v>37012</v>
      </c>
      <c r="B12" s="5">
        <f t="shared" si="1"/>
        <v>121</v>
      </c>
      <c r="C12">
        <v>5</v>
      </c>
      <c r="D12">
        <v>5</v>
      </c>
      <c r="E12">
        <v>0</v>
      </c>
      <c r="F12" s="3">
        <f t="shared" si="0"/>
        <v>0</v>
      </c>
      <c r="G12">
        <v>9</v>
      </c>
    </row>
    <row r="13" spans="1:8" ht="16" x14ac:dyDescent="0.2">
      <c r="A13" s="4">
        <f t="shared" si="2"/>
        <v>37027</v>
      </c>
      <c r="B13" s="5">
        <f t="shared" si="1"/>
        <v>136</v>
      </c>
      <c r="C13">
        <v>5</v>
      </c>
      <c r="D13">
        <v>0</v>
      </c>
      <c r="E13">
        <v>100</v>
      </c>
      <c r="F13" s="3">
        <f t="shared" si="0"/>
        <v>10</v>
      </c>
      <c r="G13">
        <v>10</v>
      </c>
    </row>
    <row r="14" spans="1:8" ht="16" x14ac:dyDescent="0.2">
      <c r="A14" s="6">
        <f>A13+16</f>
        <v>37043</v>
      </c>
      <c r="B14" s="7">
        <f t="shared" si="1"/>
        <v>152</v>
      </c>
      <c r="C14">
        <v>10</v>
      </c>
      <c r="D14">
        <v>0</v>
      </c>
      <c r="E14">
        <v>250</v>
      </c>
      <c r="F14" s="3">
        <f t="shared" si="0"/>
        <v>25</v>
      </c>
      <c r="G14">
        <v>11</v>
      </c>
    </row>
    <row r="15" spans="1:8" ht="16" x14ac:dyDescent="0.2">
      <c r="A15" s="6">
        <f t="shared" si="2"/>
        <v>37058</v>
      </c>
      <c r="B15" s="7">
        <f t="shared" si="1"/>
        <v>167</v>
      </c>
      <c r="C15">
        <v>25</v>
      </c>
      <c r="D15">
        <v>0</v>
      </c>
      <c r="E15">
        <v>400</v>
      </c>
      <c r="F15" s="3">
        <f t="shared" si="0"/>
        <v>40</v>
      </c>
      <c r="G15">
        <v>12</v>
      </c>
    </row>
    <row r="16" spans="1:8" ht="16" x14ac:dyDescent="0.2">
      <c r="A16" s="4">
        <f t="shared" si="2"/>
        <v>37073</v>
      </c>
      <c r="B16" s="5">
        <f t="shared" si="1"/>
        <v>182</v>
      </c>
      <c r="C16">
        <v>40</v>
      </c>
      <c r="D16">
        <v>0</v>
      </c>
      <c r="E16">
        <v>600</v>
      </c>
      <c r="F16" s="3">
        <f t="shared" si="0"/>
        <v>60</v>
      </c>
      <c r="G16">
        <v>13</v>
      </c>
    </row>
    <row r="17" spans="1:7" ht="16" x14ac:dyDescent="0.2">
      <c r="A17" s="4">
        <f t="shared" si="2"/>
        <v>37088</v>
      </c>
      <c r="B17" s="5">
        <f t="shared" si="1"/>
        <v>197</v>
      </c>
      <c r="C17">
        <v>70</v>
      </c>
      <c r="D17">
        <v>0</v>
      </c>
      <c r="E17">
        <v>900</v>
      </c>
      <c r="F17" s="3">
        <f t="shared" si="0"/>
        <v>90</v>
      </c>
      <c r="G17">
        <v>14</v>
      </c>
    </row>
    <row r="18" spans="1:7" ht="16" x14ac:dyDescent="0.2">
      <c r="A18" s="6">
        <f>A17+16</f>
        <v>37104</v>
      </c>
      <c r="B18" s="7">
        <f t="shared" si="1"/>
        <v>213</v>
      </c>
      <c r="C18">
        <v>90</v>
      </c>
      <c r="D18">
        <v>0</v>
      </c>
      <c r="E18">
        <v>1100</v>
      </c>
      <c r="F18" s="3">
        <f t="shared" si="0"/>
        <v>110</v>
      </c>
      <c r="G18">
        <v>15</v>
      </c>
    </row>
    <row r="19" spans="1:7" ht="16" x14ac:dyDescent="0.2">
      <c r="A19" s="6">
        <f t="shared" si="2"/>
        <v>37119</v>
      </c>
      <c r="B19" s="7">
        <f t="shared" si="1"/>
        <v>228</v>
      </c>
      <c r="C19">
        <v>90</v>
      </c>
      <c r="D19">
        <v>0</v>
      </c>
      <c r="E19">
        <v>1200</v>
      </c>
      <c r="F19" s="3">
        <f t="shared" si="0"/>
        <v>120</v>
      </c>
      <c r="G19">
        <v>16</v>
      </c>
    </row>
    <row r="20" spans="1:7" ht="16" x14ac:dyDescent="0.2">
      <c r="A20" s="4">
        <f>A19+16</f>
        <v>37135</v>
      </c>
      <c r="B20" s="5">
        <f t="shared" si="1"/>
        <v>244</v>
      </c>
      <c r="C20">
        <v>60</v>
      </c>
      <c r="D20">
        <v>0</v>
      </c>
      <c r="E20">
        <v>1000</v>
      </c>
      <c r="F20" s="3">
        <f t="shared" si="0"/>
        <v>100</v>
      </c>
      <c r="G20">
        <v>17</v>
      </c>
    </row>
    <row r="21" spans="1:7" ht="16" x14ac:dyDescent="0.2">
      <c r="A21" s="4">
        <f t="shared" si="2"/>
        <v>37150</v>
      </c>
      <c r="B21" s="5">
        <f t="shared" si="1"/>
        <v>259</v>
      </c>
      <c r="C21">
        <v>35</v>
      </c>
      <c r="D21">
        <v>5</v>
      </c>
      <c r="E21">
        <v>600</v>
      </c>
      <c r="F21" s="3">
        <f t="shared" si="0"/>
        <v>60</v>
      </c>
      <c r="G21">
        <v>18</v>
      </c>
    </row>
    <row r="22" spans="1:7" ht="16" x14ac:dyDescent="0.2">
      <c r="A22" s="6">
        <f t="shared" si="2"/>
        <v>37165</v>
      </c>
      <c r="B22" s="7">
        <f t="shared" si="1"/>
        <v>274</v>
      </c>
      <c r="C22">
        <v>25</v>
      </c>
      <c r="D22">
        <v>50</v>
      </c>
      <c r="E22">
        <v>0</v>
      </c>
      <c r="F22" s="3">
        <f t="shared" si="0"/>
        <v>0</v>
      </c>
      <c r="G22">
        <v>19</v>
      </c>
    </row>
    <row r="23" spans="1:7" ht="16" x14ac:dyDescent="0.2">
      <c r="A23" s="6">
        <f t="shared" si="2"/>
        <v>37180</v>
      </c>
      <c r="B23" s="7">
        <f t="shared" si="1"/>
        <v>289</v>
      </c>
      <c r="C23">
        <v>25</v>
      </c>
      <c r="D23">
        <v>40</v>
      </c>
      <c r="E23">
        <v>0</v>
      </c>
      <c r="F23" s="3">
        <f t="shared" si="0"/>
        <v>0</v>
      </c>
      <c r="G23">
        <v>20</v>
      </c>
    </row>
    <row r="24" spans="1:7" ht="16" x14ac:dyDescent="0.2">
      <c r="A24" s="4">
        <f>A23+16</f>
        <v>37196</v>
      </c>
      <c r="B24" s="5">
        <f t="shared" si="1"/>
        <v>305</v>
      </c>
      <c r="C24">
        <v>25</v>
      </c>
      <c r="D24">
        <v>15</v>
      </c>
      <c r="E24">
        <v>0</v>
      </c>
      <c r="F24" s="3">
        <f t="shared" si="0"/>
        <v>0</v>
      </c>
      <c r="G24">
        <v>21</v>
      </c>
    </row>
    <row r="25" spans="1:7" ht="16" x14ac:dyDescent="0.2">
      <c r="A25" s="4">
        <f t="shared" si="2"/>
        <v>37211</v>
      </c>
      <c r="B25" s="5">
        <f t="shared" si="1"/>
        <v>320</v>
      </c>
      <c r="C25">
        <v>25</v>
      </c>
      <c r="D25">
        <v>5</v>
      </c>
      <c r="E25">
        <v>0</v>
      </c>
      <c r="F25" s="3">
        <f t="shared" si="0"/>
        <v>0</v>
      </c>
      <c r="G25">
        <v>22</v>
      </c>
    </row>
    <row r="26" spans="1:7" ht="16" x14ac:dyDescent="0.2">
      <c r="A26" s="6">
        <f t="shared" si="2"/>
        <v>37226</v>
      </c>
      <c r="B26" s="7">
        <f t="shared" si="1"/>
        <v>335</v>
      </c>
      <c r="C26">
        <v>25</v>
      </c>
      <c r="D26">
        <v>5</v>
      </c>
      <c r="E26">
        <v>0</v>
      </c>
      <c r="F26" s="3">
        <f t="shared" si="0"/>
        <v>0</v>
      </c>
      <c r="G26">
        <v>23</v>
      </c>
    </row>
    <row r="27" spans="1:7" ht="16" x14ac:dyDescent="0.2">
      <c r="A27" s="6">
        <f t="shared" si="2"/>
        <v>37241</v>
      </c>
      <c r="B27" s="7">
        <f t="shared" si="1"/>
        <v>350</v>
      </c>
      <c r="C27">
        <v>25</v>
      </c>
      <c r="D27">
        <v>5</v>
      </c>
      <c r="E27">
        <v>0</v>
      </c>
      <c r="F27" s="3">
        <f t="shared" si="0"/>
        <v>0</v>
      </c>
      <c r="G27">
        <v>24</v>
      </c>
    </row>
    <row r="28" spans="1:7" ht="17" thickBot="1" x14ac:dyDescent="0.25">
      <c r="A28" s="8">
        <f t="shared" si="2"/>
        <v>37256</v>
      </c>
      <c r="B28" s="9">
        <f t="shared" si="1"/>
        <v>365</v>
      </c>
      <c r="C28" s="15">
        <f>C4</f>
        <v>0</v>
      </c>
      <c r="D28" s="15">
        <f t="shared" ref="D28:F28" si="3">D4</f>
        <v>5</v>
      </c>
      <c r="E28" s="15">
        <f t="shared" si="3"/>
        <v>0</v>
      </c>
      <c r="F28" s="15">
        <f t="shared" si="3"/>
        <v>0</v>
      </c>
      <c r="G28" s="15">
        <v>25</v>
      </c>
    </row>
    <row r="30" spans="1:7" x14ac:dyDescent="0.15">
      <c r="A30" s="14" t="s">
        <v>8</v>
      </c>
      <c r="B30"/>
      <c r="C30">
        <v>30</v>
      </c>
      <c r="D30" s="14" t="s">
        <v>9</v>
      </c>
    </row>
    <row r="31" spans="1:7" x14ac:dyDescent="0.15">
      <c r="A31" s="14" t="s">
        <v>10</v>
      </c>
      <c r="B31"/>
      <c r="C31">
        <v>0.4</v>
      </c>
      <c r="D31" s="14" t="s">
        <v>11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2026-03-24T05:00:56Z</dcterms:modified>
</cp:coreProperties>
</file>